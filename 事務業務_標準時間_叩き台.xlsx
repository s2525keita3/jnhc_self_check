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A_日常業務" sheetId="2" state="visible" r:id="rId2"/>
    <sheet name="B_経験業務" sheetId="3" state="visible" r:id="rId3"/>
    <sheet name="C_権限業務" sheetId="4" state="visible" r:id="rId4"/>
    <sheet name="月間SCH" sheetId="5" state="visible" r:id="rId5"/>
    <sheet name="集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事務業務 標準時間（叩き台）</t>
        </is>
      </c>
    </row>
    <row r="2">
      <c r="A2" t="inlineStr"/>
    </row>
    <row r="3">
      <c r="A3" s="2" t="inlineStr">
        <is>
          <t>■ この表について</t>
        </is>
      </c>
    </row>
    <row r="4">
      <c r="A4" t="inlineStr">
        <is>
          <t>・黄色列『標準時間（分/回）』は、ぴゅあ訪看 伊藤さま／アクティブライフ 佐藤さまにご記入いただく前の“たたき台”です。</t>
        </is>
      </c>
    </row>
    <row r="5">
      <c r="A5" t="inlineStr">
        <is>
          <t>・数値は一般的な訪問看護事務の作業量と、利用者数（日野店 約130名／府中店 約40名）から逆算した仮置きです。実測値ではありません。</t>
        </is>
      </c>
    </row>
    <row r="6">
      <c r="A6" t="inlineStr">
        <is>
          <t>・伊藤さま・佐藤さまには、違う箇所だけ上書きしていただく想定です（ゼロから埋めるよりご負担が小さくなります）。</t>
        </is>
      </c>
    </row>
    <row r="7">
      <c r="A7" t="inlineStr"/>
    </row>
    <row r="8">
      <c r="A8" s="2" t="inlineStr">
        <is>
          <t>■ 前提</t>
        </is>
      </c>
    </row>
    <row r="9">
      <c r="A9" t="inlineStr">
        <is>
          <t>・標準時間 ＝ ③『一人で完結可能』レベルの人が、中断なく行った場合の目標時間（分）。</t>
        </is>
      </c>
    </row>
    <row r="10">
      <c r="A10" t="inlineStr">
        <is>
          <t>・『1件あたり』と書いた業務は件数に比例。『1日合計』と書いた業務は1日分の合計。</t>
        </is>
      </c>
    </row>
    <row r="11">
      <c r="A11" t="inlineStr">
        <is>
          <t>・会長承認・ワンタイムキー待ちなど、本人がコントロールできない待ち時間は含めない。</t>
        </is>
      </c>
    </row>
    <row r="12">
      <c r="A12" t="inlineStr">
        <is>
          <t>・月あたり回数は日野店規模（約130名・月20営業日）の想定。</t>
        </is>
      </c>
    </row>
    <row r="13">
      <c r="A13" t="inlineStr"/>
    </row>
    <row r="14">
      <c r="A14" s="2" t="inlineStr">
        <is>
          <t>■ 月間SCHシートについて</t>
        </is>
      </c>
    </row>
    <row r="15">
      <c r="A15" t="inlineStr">
        <is>
          <t>・Outlook予定表（2026年9月）の日付ごとに目安時間を置いています。</t>
        </is>
      </c>
    </row>
    <row r="16">
      <c r="A16" t="inlineStr">
        <is>
          <t>・どなたの予定表か不明なため、府中店（約40名）規模と仮定しました。日野店の場合はおおむね2~3倍が目安です。</t>
        </is>
      </c>
    </row>
    <row r="17">
      <c r="A17" t="inlineStr"/>
    </row>
    <row r="18">
      <c r="A18" s="2" t="inlineStr">
        <is>
          <t>■ 洗い出しリストとの差分（要確認）</t>
        </is>
      </c>
    </row>
    <row r="19">
      <c r="A19" t="inlineStr">
        <is>
          <t>・『電気料金支払い』は洗い出しリストにあるが、表A~Cに未掲載 → 表Cに追記して計上しています。</t>
        </is>
      </c>
    </row>
    <row r="20">
      <c r="A20" t="inlineStr">
        <is>
          <t>・『入職員準備①』『入職者準備②』は表Cでは『新入職員準備』『入職者準備』として掲載。</t>
        </is>
      </c>
    </row>
    <row r="21">
      <c r="A21" t="inlineStr">
        <is>
          <t>・ご送付いただいた2つ目の洗い出しPDFは1つ目と同一内容でした。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52" customWidth="1" min="4" max="4"/>
    <col width="10" customWidth="1" min="5" max="5"/>
    <col width="12" customWidth="1" min="6" max="6"/>
    <col width="10" customWidth="1" min="7" max="7"/>
    <col width="8" customWidth="1" min="8" max="8"/>
    <col width="48" customWidth="1" min="9" max="9"/>
  </cols>
  <sheetData>
    <row r="1">
      <c r="A1" s="3" t="inlineStr">
        <is>
          <t>標準時間
（分/回）</t>
        </is>
      </c>
      <c r="B1" s="3" t="inlineStr">
        <is>
          <t>月あたり
回数(想定)</t>
        </is>
      </c>
      <c r="C1" s="3" t="inlineStr">
        <is>
          <t>月間合計
（分）</t>
        </is>
      </c>
      <c r="D1" s="3" t="inlineStr">
        <is>
          <t>業務</t>
        </is>
      </c>
      <c r="E1" s="3" t="inlineStr">
        <is>
          <t>頻度</t>
        </is>
      </c>
      <c r="F1" s="3" t="inlineStr">
        <is>
          <t>時期</t>
        </is>
      </c>
      <c r="G1" s="3" t="inlineStr">
        <is>
          <t>担当</t>
        </is>
      </c>
      <c r="H1" s="3" t="inlineStr">
        <is>
          <t>熟練度</t>
        </is>
      </c>
      <c r="I1" s="3" t="inlineStr">
        <is>
          <t>標準時間の根拠・前提</t>
        </is>
      </c>
    </row>
    <row r="2">
      <c r="A2" s="4" t="n">
        <v>20</v>
      </c>
      <c r="B2" s="5" t="n">
        <v>20</v>
      </c>
      <c r="C2" s="5">
        <f>A2*B2</f>
        <v/>
      </c>
      <c r="D2" s="6" t="inlineStr">
        <is>
          <t>朝の総実績報告</t>
        </is>
      </c>
      <c r="E2" s="5" t="inlineStr">
        <is>
          <t>毎日</t>
        </is>
      </c>
      <c r="F2" s="5" t="inlineStr">
        <is>
          <t>朝</t>
        </is>
      </c>
      <c r="G2" s="5" t="inlineStr">
        <is>
          <t>千田・林</t>
        </is>
      </c>
      <c r="H2" s="5" t="inlineStr">
        <is>
          <t>③</t>
        </is>
      </c>
      <c r="I2" s="6" t="inlineStr">
        <is>
          <t>カイポケ実績とSlack報告の突合。相違1件ごとに+5分</t>
        </is>
      </c>
    </row>
    <row r="3">
      <c r="A3" s="4" t="n">
        <v>30</v>
      </c>
      <c r="B3" s="5" t="n">
        <v>1</v>
      </c>
      <c r="C3" s="5">
        <f>A3*B3</f>
        <v/>
      </c>
      <c r="D3" s="6" t="inlineStr">
        <is>
          <t>松山先生へ小口書類送付</t>
        </is>
      </c>
      <c r="E3" s="5" t="inlineStr">
        <is>
          <t>月1回</t>
        </is>
      </c>
      <c r="F3" s="5" t="inlineStr">
        <is>
          <t>上旬</t>
        </is>
      </c>
      <c r="G3" s="5" t="inlineStr">
        <is>
          <t>千田・林</t>
        </is>
      </c>
      <c r="H3" s="5" t="inlineStr">
        <is>
          <t>②</t>
        </is>
      </c>
      <c r="I3" s="6" t="inlineStr">
        <is>
          <t>表紙作成＋同封物確認＋レターパック</t>
        </is>
      </c>
    </row>
    <row r="4">
      <c r="A4" s="4" t="n">
        <v>20</v>
      </c>
      <c r="B4" s="5" t="n">
        <v>1.5</v>
      </c>
      <c r="C4" s="5">
        <f>A4*B4</f>
        <v/>
      </c>
      <c r="D4" s="6" t="inlineStr">
        <is>
          <t>郵便局ATMで両替</t>
        </is>
      </c>
      <c r="E4" s="5" t="inlineStr">
        <is>
          <t>月1~2回</t>
        </is>
      </c>
      <c r="F4" s="5" t="inlineStr">
        <is>
          <t>必要時</t>
        </is>
      </c>
      <c r="G4" s="5" t="inlineStr">
        <is>
          <t>千田</t>
        </is>
      </c>
      <c r="H4" s="5" t="inlineStr">
        <is>
          <t>②</t>
        </is>
      </c>
      <c r="I4" s="6" t="inlineStr">
        <is>
          <t>移動込み</t>
        </is>
      </c>
    </row>
    <row r="5">
      <c r="A5" s="4" t="n">
        <v>15</v>
      </c>
      <c r="B5" s="5" t="n">
        <v>20</v>
      </c>
      <c r="C5" s="5">
        <f>A5*B5</f>
        <v/>
      </c>
      <c r="D5" s="6" t="inlineStr">
        <is>
          <t>診療レポート・報告書スキャン＋UP＋事務連絡報告</t>
        </is>
      </c>
      <c r="E5" s="5" t="inlineStr">
        <is>
          <t>都度</t>
        </is>
      </c>
      <c r="F5" s="5" t="inlineStr">
        <is>
          <t>都度</t>
        </is>
      </c>
      <c r="G5" s="5" t="inlineStr">
        <is>
          <t>千田・林</t>
        </is>
      </c>
      <c r="H5" s="5" t="inlineStr">
        <is>
          <t>④</t>
        </is>
      </c>
      <c r="I5" s="6" t="inlineStr">
        <is>
          <t>1件3~5分×1日3~4件想定</t>
        </is>
      </c>
    </row>
    <row r="6">
      <c r="A6" s="4" t="n">
        <v>20</v>
      </c>
      <c r="B6" s="5" t="n">
        <v>20</v>
      </c>
      <c r="C6" s="5">
        <f>A6*B6</f>
        <v/>
      </c>
      <c r="D6" s="6" t="inlineStr">
        <is>
          <t>郵便開封（仕分け・一次処理まで）</t>
        </is>
      </c>
      <c r="E6" s="5" t="inlineStr">
        <is>
          <t>毎日</t>
        </is>
      </c>
      <c r="F6" s="5" t="inlineStr">
        <is>
          <t>午前中</t>
        </is>
      </c>
      <c r="G6" s="5" t="inlineStr">
        <is>
          <t>千田・林</t>
        </is>
      </c>
      <c r="H6" s="5" t="inlineStr">
        <is>
          <t>②</t>
        </is>
      </c>
      <c r="I6" s="6" t="inlineStr">
        <is>
          <t>登録作業そのものは各業務側で計上</t>
        </is>
      </c>
    </row>
    <row r="7">
      <c r="A7" s="4" t="n">
        <v>30</v>
      </c>
      <c r="B7" s="5" t="n">
        <v>20</v>
      </c>
      <c r="C7" s="5">
        <f>A7*B7</f>
        <v/>
      </c>
      <c r="D7" s="6" t="inlineStr">
        <is>
          <t>電話対応</t>
        </is>
      </c>
      <c r="E7" s="5" t="inlineStr">
        <is>
          <t>毎日</t>
        </is>
      </c>
      <c r="F7" s="5" t="inlineStr">
        <is>
          <t>都度</t>
        </is>
      </c>
      <c r="G7" s="5" t="inlineStr">
        <is>
          <t>千田・林</t>
        </is>
      </c>
      <c r="H7" s="5" t="inlineStr">
        <is>
          <t>②</t>
        </is>
      </c>
      <c r="I7" s="6" t="inlineStr">
        <is>
          <t>変動大。1日合計の目安</t>
        </is>
      </c>
    </row>
    <row r="8">
      <c r="A8" s="4" t="n">
        <v>60</v>
      </c>
      <c r="B8" s="5" t="n">
        <v>6</v>
      </c>
      <c r="C8" s="5">
        <f>A8*B8</f>
        <v/>
      </c>
      <c r="D8" s="6" t="inlineStr">
        <is>
          <t>zoomMTスケジュール作成＋議事録＋Slack UP＋ファイリング</t>
        </is>
      </c>
      <c r="E8" s="5" t="inlineStr">
        <is>
          <t>週1~2回</t>
        </is>
      </c>
      <c r="F8" s="5" t="inlineStr">
        <is>
          <t>火・金</t>
        </is>
      </c>
      <c r="G8" s="5" t="inlineStr">
        <is>
          <t>千田</t>
        </is>
      </c>
      <c r="H8" s="5" t="inlineStr">
        <is>
          <t>①</t>
        </is>
      </c>
      <c r="I8" s="6" t="inlineStr">
        <is>
          <t>議事録はMT時間の1倍以内が目標（育成後）</t>
        </is>
      </c>
    </row>
    <row r="9">
      <c r="A9" s="4" t="n">
        <v>10</v>
      </c>
      <c r="B9" s="5" t="n">
        <v>20</v>
      </c>
      <c r="C9" s="5">
        <f>A9*B9</f>
        <v/>
      </c>
      <c r="D9" s="6" t="inlineStr">
        <is>
          <t>指示書依頼発送（1件あたり）</t>
        </is>
      </c>
      <c r="E9" s="5" t="inlineStr">
        <is>
          <t>都度</t>
        </is>
      </c>
      <c r="F9" s="5" t="inlineStr">
        <is>
          <t>都度</t>
        </is>
      </c>
      <c r="G9" s="5" t="inlineStr">
        <is>
          <t>千田・林</t>
        </is>
      </c>
      <c r="H9" s="5" t="inlineStr">
        <is>
          <t>④</t>
        </is>
      </c>
      <c r="I9" s="6" t="inlineStr">
        <is>
          <t>表紙・ひな形・返信封筒セット。電話時+10分</t>
        </is>
      </c>
    </row>
    <row r="10">
      <c r="A10" s="4" t="n">
        <v>15</v>
      </c>
      <c r="B10" s="5" t="n">
        <v>20</v>
      </c>
      <c r="C10" s="5">
        <f>A10*B10</f>
        <v/>
      </c>
      <c r="D10" s="6" t="inlineStr">
        <is>
          <t>ファイリング</t>
        </is>
      </c>
      <c r="E10" s="5" t="inlineStr">
        <is>
          <t>都度</t>
        </is>
      </c>
      <c r="F10" s="5" t="inlineStr">
        <is>
          <t>都度</t>
        </is>
      </c>
      <c r="G10" s="5" t="inlineStr">
        <is>
          <t>千田・林</t>
        </is>
      </c>
      <c r="H10" s="5" t="inlineStr">
        <is>
          <t>④</t>
        </is>
      </c>
      <c r="I10" s="6" t="inlineStr">
        <is>
          <t>溜めずに1日15分枠で処理</t>
        </is>
      </c>
    </row>
    <row r="11">
      <c r="A11" s="4" t="n">
        <v>60</v>
      </c>
      <c r="B11" s="5" t="n">
        <v>1</v>
      </c>
      <c r="C11" s="5">
        <f>A11*B11</f>
        <v/>
      </c>
      <c r="D11" s="6" t="inlineStr">
        <is>
          <t>計画書印刷＋職員別振り分け＋格納＋報告</t>
        </is>
      </c>
      <c r="E11" s="5" t="inlineStr">
        <is>
          <t>月1回</t>
        </is>
      </c>
      <c r="F11" s="5" t="inlineStr">
        <is>
          <t>月初</t>
        </is>
      </c>
      <c r="G11" s="5" t="inlineStr">
        <is>
          <t>千田</t>
        </is>
      </c>
      <c r="H11" s="5" t="inlineStr">
        <is>
          <t>②</t>
        </is>
      </c>
      <c r="I11" s="6" t="inlineStr">
        <is>
          <t>約130名分</t>
        </is>
      </c>
    </row>
    <row r="12">
      <c r="A12" s="4" t="n">
        <v>15</v>
      </c>
      <c r="B12" s="5" t="n">
        <v>1</v>
      </c>
      <c r="C12" s="5">
        <f>A12*B12</f>
        <v/>
      </c>
      <c r="D12" s="6" t="inlineStr">
        <is>
          <t>マイナンバー読取者を佐藤さんに報告</t>
        </is>
      </c>
      <c r="E12" s="5" t="inlineStr">
        <is>
          <t>月1回</t>
        </is>
      </c>
      <c r="F12" s="5" t="inlineStr">
        <is>
          <t>月末</t>
        </is>
      </c>
      <c r="G12" s="5" t="inlineStr">
        <is>
          <t>千田</t>
        </is>
      </c>
      <c r="H12" s="5" t="inlineStr">
        <is>
          <t>①</t>
        </is>
      </c>
      <c r="I12" s="6" t="inlineStr"/>
    </row>
    <row r="13">
      <c r="A13" s="4" t="n">
        <v>90</v>
      </c>
      <c r="B13" s="5" t="n">
        <v>1</v>
      </c>
      <c r="C13" s="5">
        <f>A13*B13</f>
        <v/>
      </c>
      <c r="D13" s="6" t="inlineStr">
        <is>
          <t>レセプト印刷（一人ずつ）＋受領書とファイリング</t>
        </is>
      </c>
      <c r="E13" s="5" t="inlineStr">
        <is>
          <t>月1回</t>
        </is>
      </c>
      <c r="F13" s="5" t="inlineStr">
        <is>
          <t>中旬</t>
        </is>
      </c>
      <c r="G13" s="5" t="inlineStr">
        <is>
          <t>林</t>
        </is>
      </c>
      <c r="H13" s="5" t="inlineStr">
        <is>
          <t>③</t>
        </is>
      </c>
      <c r="I13" s="6" t="inlineStr">
        <is>
          <t>約130名×40秒程度</t>
        </is>
      </c>
    </row>
    <row r="14">
      <c r="A14" s="4" t="n">
        <v>20</v>
      </c>
      <c r="B14" s="5" t="n">
        <v>1</v>
      </c>
      <c r="C14" s="5">
        <f>A14*B14</f>
        <v/>
      </c>
      <c r="D14" s="6" t="inlineStr">
        <is>
          <t>封筒印刷</t>
        </is>
      </c>
      <c r="E14" s="5" t="inlineStr">
        <is>
          <t>月1回</t>
        </is>
      </c>
      <c r="F14" s="5" t="inlineStr">
        <is>
          <t>中旬</t>
        </is>
      </c>
      <c r="G14" s="5" t="inlineStr">
        <is>
          <t>千田・林</t>
        </is>
      </c>
      <c r="H14" s="5" t="inlineStr">
        <is>
          <t>②</t>
        </is>
      </c>
      <c r="I14" s="6" t="inlineStr"/>
    </row>
    <row r="15">
      <c r="A15" s="4" t="n">
        <v>5</v>
      </c>
      <c r="B15" s="5" t="n">
        <v>8</v>
      </c>
      <c r="C15" s="5">
        <f>A15*B15</f>
        <v/>
      </c>
      <c r="D15" s="6" t="inlineStr">
        <is>
          <t>研修案内スキャン＋Slack UP（1件あたり）</t>
        </is>
      </c>
      <c r="E15" s="5" t="inlineStr">
        <is>
          <t>都度</t>
        </is>
      </c>
      <c r="F15" s="5" t="inlineStr">
        <is>
          <t>都度</t>
        </is>
      </c>
      <c r="G15" s="5" t="inlineStr">
        <is>
          <t>千田・林</t>
        </is>
      </c>
      <c r="H15" s="5" t="inlineStr">
        <is>
          <t>②</t>
        </is>
      </c>
      <c r="I15" s="6" t="inlineStr"/>
    </row>
    <row r="16">
      <c r="A16" s="4" t="n">
        <v>15</v>
      </c>
      <c r="B16" s="5" t="n">
        <v>20</v>
      </c>
      <c r="C16" s="5">
        <f>A16*B16</f>
        <v/>
      </c>
      <c r="D16" s="6" t="inlineStr">
        <is>
          <t>佐藤さんとの共有スプレッドシート更新</t>
        </is>
      </c>
      <c r="E16" s="5" t="inlineStr">
        <is>
          <t>都度</t>
        </is>
      </c>
      <c r="F16" s="5" t="inlineStr">
        <is>
          <t>都度</t>
        </is>
      </c>
      <c r="G16" s="5" t="inlineStr">
        <is>
          <t>千田・林</t>
        </is>
      </c>
      <c r="H16" s="5" t="inlineStr">
        <is>
          <t>②</t>
        </is>
      </c>
      <c r="I16" s="6" t="inlineStr">
        <is>
          <t>1日合計の目安</t>
        </is>
      </c>
    </row>
    <row r="17">
      <c r="A17" s="4" t="n">
        <v>10</v>
      </c>
      <c r="B17" s="5" t="n">
        <v>1</v>
      </c>
      <c r="C17" s="5">
        <f>A17*B17</f>
        <v/>
      </c>
      <c r="D17" s="6" t="inlineStr">
        <is>
          <t>コピー機不具合時の電話対応</t>
        </is>
      </c>
      <c r="E17" s="5" t="inlineStr">
        <is>
          <t>都度</t>
        </is>
      </c>
      <c r="F17" s="5" t="inlineStr">
        <is>
          <t>都度</t>
        </is>
      </c>
      <c r="G17" s="5" t="inlineStr">
        <is>
          <t>千田・林</t>
        </is>
      </c>
      <c r="H17" s="5" t="inlineStr">
        <is>
          <t>③</t>
        </is>
      </c>
      <c r="I17" s="6" t="inlineStr">
        <is>
          <t>業者訪問の立会い時間は除く</t>
        </is>
      </c>
    </row>
    <row r="18">
      <c r="A18" s="4" t="n">
        <v>15</v>
      </c>
      <c r="B18" s="5" t="n">
        <v>20</v>
      </c>
      <c r="C18" s="5">
        <f>A18*B18</f>
        <v/>
      </c>
      <c r="D18" s="6" t="inlineStr">
        <is>
          <t>訪看スケジュールSS作成・編集</t>
        </is>
      </c>
      <c r="E18" s="5" t="inlineStr">
        <is>
          <t>都度</t>
        </is>
      </c>
      <c r="F18" s="5" t="inlineStr">
        <is>
          <t>都度</t>
        </is>
      </c>
      <c r="G18" s="5" t="inlineStr">
        <is>
          <t>林</t>
        </is>
      </c>
      <c r="H18" s="5" t="inlineStr">
        <is>
          <t>④</t>
        </is>
      </c>
      <c r="I18" s="6" t="inlineStr">
        <is>
          <t>1日合計の目安。月初の新規作成は別途60分</t>
        </is>
      </c>
    </row>
    <row r="19">
      <c r="A19" s="4" t="n">
        <v>60</v>
      </c>
      <c r="B19" s="5" t="n">
        <v>1</v>
      </c>
      <c r="C19" s="5">
        <f>A19*B19</f>
        <v/>
      </c>
      <c r="D19" s="6" t="inlineStr">
        <is>
          <t>シフト表作成・UP</t>
        </is>
      </c>
      <c r="E19" s="5" t="inlineStr">
        <is>
          <t>月1回</t>
        </is>
      </c>
      <c r="F19" s="5" t="inlineStr">
        <is>
          <t>月末</t>
        </is>
      </c>
      <c r="G19" s="5" t="inlineStr">
        <is>
          <t>林</t>
        </is>
      </c>
      <c r="H19" s="5" t="inlineStr">
        <is>
          <t>④</t>
        </is>
      </c>
      <c r="I19" s="6" t="inlineStr">
        <is>
          <t>修正は都度5分</t>
        </is>
      </c>
    </row>
    <row r="20">
      <c r="A20" s="4" t="n">
        <v>60</v>
      </c>
      <c r="B20" s="5" t="n">
        <v>1</v>
      </c>
      <c r="C20" s="5">
        <f>A20*B20</f>
        <v/>
      </c>
      <c r="D20" s="6" t="inlineStr">
        <is>
          <t>看護記録ⅡのGAF理由・計画書同意の文言確認</t>
        </is>
      </c>
      <c r="E20" s="5" t="inlineStr">
        <is>
          <t>月1回</t>
        </is>
      </c>
      <c r="F20" s="5" t="inlineStr">
        <is>
          <t>月末</t>
        </is>
      </c>
      <c r="G20" s="5" t="inlineStr">
        <is>
          <t>林</t>
        </is>
      </c>
      <c r="H20" s="5" t="inlineStr">
        <is>
          <t>③</t>
        </is>
      </c>
      <c r="I20" s="6" t="inlineStr">
        <is>
          <t>約130名分</t>
        </is>
      </c>
    </row>
    <row r="21">
      <c r="A21" s="4" t="n">
        <v>30</v>
      </c>
      <c r="B21" s="5" t="n">
        <v>2</v>
      </c>
      <c r="C21" s="5">
        <f>A21*B21</f>
        <v/>
      </c>
      <c r="D21" s="6" t="inlineStr">
        <is>
          <t>GAF入力確認＋リスト更新</t>
        </is>
      </c>
      <c r="E21" s="5" t="inlineStr">
        <is>
          <t>月2回</t>
        </is>
      </c>
      <c r="F21" s="5" t="inlineStr">
        <is>
          <t>中旬・月初</t>
        </is>
      </c>
      <c r="G21" s="5" t="inlineStr">
        <is>
          <t>千田・林</t>
        </is>
      </c>
      <c r="H21" s="5" t="inlineStr">
        <is>
          <t>③</t>
        </is>
      </c>
      <c r="I21" s="6" t="inlineStr"/>
    </row>
    <row r="22">
      <c r="B22" s="2" t="inlineStr">
        <is>
          <t>合計</t>
        </is>
      </c>
      <c r="C22" s="2">
        <f>SUM(C2:C21)</f>
        <v/>
      </c>
    </row>
    <row r="23">
      <c r="B23" s="2" t="inlineStr">
        <is>
          <t>時間換算</t>
        </is>
      </c>
      <c r="C23" s="2">
        <f>ROUND(C22/60,1)</f>
        <v/>
      </c>
      <c r="D23" t="inlineStr">
        <is>
          <t>時間/月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52" customWidth="1" min="4" max="4"/>
    <col width="10" customWidth="1" min="5" max="5"/>
    <col width="12" customWidth="1" min="6" max="6"/>
    <col width="10" customWidth="1" min="7" max="7"/>
    <col width="8" customWidth="1" min="8" max="8"/>
    <col width="48" customWidth="1" min="9" max="9"/>
  </cols>
  <sheetData>
    <row r="1">
      <c r="A1" s="3" t="inlineStr">
        <is>
          <t>標準時間
（分/回）</t>
        </is>
      </c>
      <c r="B1" s="3" t="inlineStr">
        <is>
          <t>月あたり
回数(想定)</t>
        </is>
      </c>
      <c r="C1" s="3" t="inlineStr">
        <is>
          <t>月間合計
（分）</t>
        </is>
      </c>
      <c r="D1" s="3" t="inlineStr">
        <is>
          <t>業務</t>
        </is>
      </c>
      <c r="E1" s="3" t="inlineStr">
        <is>
          <t>頻度</t>
        </is>
      </c>
      <c r="F1" s="3" t="inlineStr">
        <is>
          <t>時期</t>
        </is>
      </c>
      <c r="G1" s="3" t="inlineStr">
        <is>
          <t>担当</t>
        </is>
      </c>
      <c r="H1" s="3" t="inlineStr">
        <is>
          <t>熟練度</t>
        </is>
      </c>
      <c r="I1" s="3" t="inlineStr">
        <is>
          <t>標準時間の根拠・前提</t>
        </is>
      </c>
    </row>
    <row r="2">
      <c r="A2" s="4" t="n">
        <v>90</v>
      </c>
      <c r="B2" s="5" t="n">
        <v>1</v>
      </c>
      <c r="C2" s="5">
        <f>A2*B2</f>
        <v/>
      </c>
      <c r="D2" s="6" t="inlineStr">
        <is>
          <t>介護FAX（提供票と実績の突合→FAX）</t>
        </is>
      </c>
      <c r="E2" s="5" t="inlineStr">
        <is>
          <t>月1回</t>
        </is>
      </c>
      <c r="F2" s="5" t="inlineStr">
        <is>
          <t>1~3日</t>
        </is>
      </c>
      <c r="G2" s="5" t="inlineStr">
        <is>
          <t>千田・林</t>
        </is>
      </c>
      <c r="H2" s="5" t="inlineStr">
        <is>
          <t>②</t>
        </is>
      </c>
      <c r="I2" s="6" t="inlineStr">
        <is>
          <t>介護保険利用者30名前後×3分想定</t>
        </is>
      </c>
    </row>
    <row r="3">
      <c r="A3" s="4" t="n">
        <v>45</v>
      </c>
      <c r="B3" s="5" t="n">
        <v>4</v>
      </c>
      <c r="C3" s="5">
        <f>A3*B3</f>
        <v/>
      </c>
      <c r="D3" s="6" t="inlineStr">
        <is>
          <t>基本療養費確認＋リスト更新</t>
        </is>
      </c>
      <c r="E3" s="5" t="inlineStr">
        <is>
          <t>週1回</t>
        </is>
      </c>
      <c r="F3" s="5" t="inlineStr">
        <is>
          <t>空き時間</t>
        </is>
      </c>
      <c r="G3" s="5" t="inlineStr">
        <is>
          <t>千田・林</t>
        </is>
      </c>
      <c r="H3" s="5" t="inlineStr">
        <is>
          <t>②</t>
        </is>
      </c>
      <c r="I3" s="6" t="inlineStr">
        <is>
          <t>修正連絡メール込み</t>
        </is>
      </c>
    </row>
    <row r="4">
      <c r="A4" s="4" t="n">
        <v>120</v>
      </c>
      <c r="B4" s="5" t="n">
        <v>1</v>
      </c>
      <c r="C4" s="5">
        <f>A4*B4</f>
        <v/>
      </c>
      <c r="D4" s="6" t="inlineStr">
        <is>
          <t>累計額確認＋リスト更新＋職員連絡＋薬局・医療機関電話＋SS入力</t>
        </is>
      </c>
      <c r="E4" s="5" t="inlineStr">
        <is>
          <t>月1回</t>
        </is>
      </c>
      <c r="F4" s="5" t="inlineStr">
        <is>
          <t>下旬</t>
        </is>
      </c>
      <c r="G4" s="5" t="inlineStr">
        <is>
          <t>千田・林</t>
        </is>
      </c>
      <c r="H4" s="5" t="inlineStr">
        <is>
          <t>②</t>
        </is>
      </c>
      <c r="I4" s="6" t="inlineStr">
        <is>
          <t>電話件数で変動</t>
        </is>
      </c>
    </row>
    <row r="5">
      <c r="A5" s="4" t="n">
        <v>10</v>
      </c>
      <c r="B5" s="5" t="n">
        <v>25</v>
      </c>
      <c r="C5" s="5">
        <f>A5*B5</f>
        <v/>
      </c>
      <c r="D5" s="6" t="inlineStr">
        <is>
          <t>指示書登録＋不備時電話＋SS更新（1件あたり）</t>
        </is>
      </c>
      <c r="E5" s="5" t="inlineStr">
        <is>
          <t>都度</t>
        </is>
      </c>
      <c r="F5" s="5" t="inlineStr">
        <is>
          <t>都度</t>
        </is>
      </c>
      <c r="G5" s="5" t="inlineStr">
        <is>
          <t>千田・林</t>
        </is>
      </c>
      <c r="H5" s="5" t="inlineStr">
        <is>
          <t>③</t>
        </is>
      </c>
      <c r="I5" s="6" t="inlineStr">
        <is>
          <t>ファイリング込み</t>
        </is>
      </c>
    </row>
    <row r="6">
      <c r="A6" s="4" t="n">
        <v>30</v>
      </c>
      <c r="B6" s="5" t="n">
        <v>6</v>
      </c>
      <c r="C6" s="5">
        <f>A6*B6</f>
        <v/>
      </c>
      <c r="D6" s="6" t="inlineStr">
        <is>
          <t>新規利用者登録＋保険公費登録＋Wチェック（1名あたり）</t>
        </is>
      </c>
      <c r="E6" s="5" t="inlineStr">
        <is>
          <t>都度</t>
        </is>
      </c>
      <c r="F6" s="5" t="inlineStr">
        <is>
          <t>都度</t>
        </is>
      </c>
      <c r="G6" s="5" t="inlineStr">
        <is>
          <t>千田・林</t>
        </is>
      </c>
      <c r="H6" s="5" t="inlineStr">
        <is>
          <t>②</t>
        </is>
      </c>
      <c r="I6" s="6" t="inlineStr">
        <is>
          <t>市役所確認が必要な場合+15分</t>
        </is>
      </c>
    </row>
    <row r="7">
      <c r="A7" s="4" t="n">
        <v>30</v>
      </c>
      <c r="B7" s="5" t="n">
        <v>2</v>
      </c>
      <c r="C7" s="5">
        <f>A7*B7</f>
        <v/>
      </c>
      <c r="D7" s="6" t="inlineStr">
        <is>
          <t>認定結果の確認・登録</t>
        </is>
      </c>
      <c r="E7" s="5" t="inlineStr">
        <is>
          <t>月2回</t>
        </is>
      </c>
      <c r="F7" s="5" t="inlineStr">
        <is>
          <t>都度</t>
        </is>
      </c>
      <c r="G7" s="5" t="inlineStr">
        <is>
          <t>千田・林</t>
        </is>
      </c>
      <c r="H7" s="5" t="inlineStr">
        <is>
          <t>④</t>
        </is>
      </c>
      <c r="I7" s="6" t="inlineStr"/>
    </row>
    <row r="8">
      <c r="A8" s="4" t="n">
        <v>60</v>
      </c>
      <c r="B8" s="5" t="n">
        <v>1</v>
      </c>
      <c r="C8" s="5">
        <f>A8*B8</f>
        <v/>
      </c>
      <c r="D8" s="6" t="inlineStr">
        <is>
          <t>返戻確認（伝送端末＋郵送）</t>
        </is>
      </c>
      <c r="E8" s="5" t="inlineStr">
        <is>
          <t>月1回</t>
        </is>
      </c>
      <c r="F8" s="5" t="inlineStr">
        <is>
          <t>5日~10日</t>
        </is>
      </c>
      <c r="G8" s="5" t="inlineStr">
        <is>
          <t>千田・林</t>
        </is>
      </c>
      <c r="H8" s="5" t="inlineStr">
        <is>
          <t>②</t>
        </is>
      </c>
      <c r="I8" s="6" t="inlineStr"/>
    </row>
    <row r="9">
      <c r="A9" s="4" t="n">
        <v>60</v>
      </c>
      <c r="B9" s="5" t="n">
        <v>1</v>
      </c>
      <c r="C9" s="5">
        <f>A9*B9</f>
        <v/>
      </c>
      <c r="D9" s="6" t="inlineStr">
        <is>
          <t>レセ作成後の加算確認（カイポケ）</t>
        </is>
      </c>
      <c r="E9" s="5" t="inlineStr">
        <is>
          <t>月1回</t>
        </is>
      </c>
      <c r="F9" s="5" t="inlineStr">
        <is>
          <t>月初</t>
        </is>
      </c>
      <c r="G9" s="5" t="inlineStr">
        <is>
          <t>千田・林</t>
        </is>
      </c>
      <c r="H9" s="5" t="inlineStr">
        <is>
          <t>②</t>
        </is>
      </c>
      <c r="I9" s="6" t="inlineStr">
        <is>
          <t>DX・時間外の相違確認</t>
        </is>
      </c>
    </row>
    <row r="10">
      <c r="A10" s="4" t="n">
        <v>150</v>
      </c>
      <c r="B10" s="5" t="n">
        <v>1</v>
      </c>
      <c r="C10" s="5">
        <f>A10*B10</f>
        <v/>
      </c>
      <c r="D10" s="6" t="inlineStr">
        <is>
          <t>全員の保険内容確認（資格確認書・マイナ）</t>
        </is>
      </c>
      <c r="E10" s="5" t="inlineStr">
        <is>
          <t>月1回</t>
        </is>
      </c>
      <c r="F10" s="5" t="inlineStr">
        <is>
          <t>月末月初</t>
        </is>
      </c>
      <c r="G10" s="5" t="inlineStr">
        <is>
          <t>千田</t>
        </is>
      </c>
      <c r="H10" s="5" t="inlineStr">
        <is>
          <t>②</t>
        </is>
      </c>
      <c r="I10" s="6" t="inlineStr">
        <is>
          <t>約130名×1分強</t>
        </is>
      </c>
    </row>
    <row r="11">
      <c r="A11" s="4" t="n">
        <v>60</v>
      </c>
      <c r="B11" s="5" t="n">
        <v>1</v>
      </c>
      <c r="C11" s="5">
        <f>A11*B11</f>
        <v/>
      </c>
      <c r="D11" s="6" t="inlineStr">
        <is>
          <t>公費期限切れ確認＋職員連絡＋登録＋SS更新</t>
        </is>
      </c>
      <c r="E11" s="5" t="inlineStr">
        <is>
          <t>月1回</t>
        </is>
      </c>
      <c r="F11" s="5" t="inlineStr">
        <is>
          <t>下旬</t>
        </is>
      </c>
      <c r="G11" s="5" t="inlineStr">
        <is>
          <t>千田</t>
        </is>
      </c>
      <c r="H11" s="5" t="inlineStr">
        <is>
          <t>①</t>
        </is>
      </c>
      <c r="I11" s="6" t="inlineStr"/>
    </row>
    <row r="12">
      <c r="A12" s="4" t="n">
        <v>150</v>
      </c>
      <c r="B12" s="5" t="n">
        <v>1</v>
      </c>
      <c r="C12" s="5">
        <f>A12*B12</f>
        <v/>
      </c>
      <c r="D12" s="6" t="inlineStr">
        <is>
          <t>請求書発送（印刷・仕分け・領収書・督促）</t>
        </is>
      </c>
      <c r="E12" s="5" t="inlineStr">
        <is>
          <t>月1回</t>
        </is>
      </c>
      <c r="F12" s="5" t="inlineStr">
        <is>
          <t>月初</t>
        </is>
      </c>
      <c r="G12" s="5" t="inlineStr">
        <is>
          <t>千田・林</t>
        </is>
      </c>
      <c r="H12" s="5" t="inlineStr">
        <is>
          <t>③</t>
        </is>
      </c>
      <c r="I12" s="6" t="inlineStr">
        <is>
          <t>約130名×1分強</t>
        </is>
      </c>
    </row>
    <row r="13">
      <c r="A13" s="4" t="n">
        <v>60</v>
      </c>
      <c r="B13" s="5" t="n">
        <v>2</v>
      </c>
      <c r="C13" s="5">
        <f>A13*B13</f>
        <v/>
      </c>
      <c r="D13" s="6" t="inlineStr">
        <is>
          <t>振込口座確認＋カイポケ入力＋領収書押印＋渋谷社長データ</t>
        </is>
      </c>
      <c r="E13" s="5" t="inlineStr">
        <is>
          <t>月2回</t>
        </is>
      </c>
      <c r="F13" s="5" t="inlineStr">
        <is>
          <t>月末月初</t>
        </is>
      </c>
      <c r="G13" s="5" t="inlineStr">
        <is>
          <t>千田・林</t>
        </is>
      </c>
      <c r="H13" s="5" t="inlineStr">
        <is>
          <t>②</t>
        </is>
      </c>
      <c r="I13" s="6" t="inlineStr"/>
    </row>
    <row r="14">
      <c r="A14" s="4" t="n">
        <v>60</v>
      </c>
      <c r="B14" s="5" t="n">
        <v>1</v>
      </c>
      <c r="C14" s="5">
        <f>A14*B14</f>
        <v/>
      </c>
      <c r="D14" s="6" t="inlineStr">
        <is>
          <t>指示書期限切れ確認＋依頼書準備</t>
        </is>
      </c>
      <c r="E14" s="5" t="inlineStr">
        <is>
          <t>月1回</t>
        </is>
      </c>
      <c r="F14" s="5" t="inlineStr">
        <is>
          <t>下旬</t>
        </is>
      </c>
      <c r="G14" s="5" t="inlineStr">
        <is>
          <t>千田・林</t>
        </is>
      </c>
      <c r="H14" s="5" t="inlineStr">
        <is>
          <t>②</t>
        </is>
      </c>
      <c r="I14" s="6" t="inlineStr">
        <is>
          <t>発送作業はA『指示書依頼発送』で計上</t>
        </is>
      </c>
    </row>
    <row r="15">
      <c r="A15" s="4" t="n">
        <v>180</v>
      </c>
      <c r="B15" s="5" t="n">
        <v>1</v>
      </c>
      <c r="C15" s="5">
        <f>A15*B15</f>
        <v/>
      </c>
      <c r="D15" s="6" t="inlineStr">
        <is>
          <t>医療機関・介護宛 計画書／報告書 印刷・仕分け・封入・発送</t>
        </is>
      </c>
      <c r="E15" s="5" t="inlineStr">
        <is>
          <t>月1回</t>
        </is>
      </c>
      <c r="F15" s="5" t="inlineStr">
        <is>
          <t>上旬</t>
        </is>
      </c>
      <c r="G15" s="5" t="inlineStr">
        <is>
          <t>千田・林</t>
        </is>
      </c>
      <c r="H15" s="5" t="inlineStr">
        <is>
          <t>③</t>
        </is>
      </c>
      <c r="I15" s="6" t="inlineStr">
        <is>
          <t>郵便局往復込み</t>
        </is>
      </c>
    </row>
    <row r="16">
      <c r="A16" s="4" t="n">
        <v>30</v>
      </c>
      <c r="B16" s="5" t="n">
        <v>1</v>
      </c>
      <c r="C16" s="5">
        <f>A16*B16</f>
        <v/>
      </c>
      <c r="D16" s="6" t="inlineStr">
        <is>
          <t>短時間訪問の確認（カイポケ）</t>
        </is>
      </c>
      <c r="E16" s="5" t="inlineStr">
        <is>
          <t>月1回</t>
        </is>
      </c>
      <c r="F16" s="5" t="inlineStr">
        <is>
          <t>月初</t>
        </is>
      </c>
      <c r="G16" s="5" t="inlineStr">
        <is>
          <t>千田・林</t>
        </is>
      </c>
      <c r="H16" s="5" t="inlineStr">
        <is>
          <t>②</t>
        </is>
      </c>
      <c r="I16" s="6" t="inlineStr">
        <is>
          <t>GH利用者 看護師2名分</t>
        </is>
      </c>
    </row>
    <row r="17">
      <c r="A17" s="4" t="n">
        <v>60</v>
      </c>
      <c r="B17" s="5" t="n">
        <v>1</v>
      </c>
      <c r="C17" s="5">
        <f>A17*B17</f>
        <v/>
      </c>
      <c r="D17" s="6" t="inlineStr">
        <is>
          <t>渋谷社長への実績報告（データ入力・PDF送付）</t>
        </is>
      </c>
      <c r="E17" s="5" t="inlineStr">
        <is>
          <t>月1回</t>
        </is>
      </c>
      <c r="F17" s="5" t="inlineStr">
        <is>
          <t>上旬</t>
        </is>
      </c>
      <c r="G17" s="5" t="inlineStr">
        <is>
          <t>千田</t>
        </is>
      </c>
      <c r="H17" s="5" t="inlineStr">
        <is>
          <t>①</t>
        </is>
      </c>
      <c r="I17" s="6" t="inlineStr"/>
    </row>
    <row r="18">
      <c r="A18" s="4" t="n">
        <v>10</v>
      </c>
      <c r="B18" s="5" t="n">
        <v>4</v>
      </c>
      <c r="C18" s="5">
        <f>A18*B18</f>
        <v/>
      </c>
      <c r="D18" s="6" t="inlineStr">
        <is>
          <t>新規連絡のSlack新規依頼UP</t>
        </is>
      </c>
      <c r="E18" s="5" t="inlineStr">
        <is>
          <t>都度</t>
        </is>
      </c>
      <c r="F18" s="5" t="inlineStr">
        <is>
          <t>都度</t>
        </is>
      </c>
      <c r="G18" s="5" t="inlineStr">
        <is>
          <t>千田</t>
        </is>
      </c>
      <c r="H18" s="5" t="inlineStr">
        <is>
          <t>①</t>
        </is>
      </c>
      <c r="I18" s="6" t="inlineStr"/>
    </row>
    <row r="19">
      <c r="A19" s="4" t="n">
        <v>30</v>
      </c>
      <c r="B19" s="5" t="n">
        <v>1</v>
      </c>
      <c r="C19" s="5">
        <f>A19*B19</f>
        <v/>
      </c>
      <c r="D19" s="6" t="inlineStr">
        <is>
          <t>情報提供書発送（現在3名）</t>
        </is>
      </c>
      <c r="E19" s="5" t="inlineStr">
        <is>
          <t>月1回</t>
        </is>
      </c>
      <c r="F19" s="5" t="inlineStr">
        <is>
          <t>上旬</t>
        </is>
      </c>
      <c r="G19" s="5" t="inlineStr">
        <is>
          <t>千田・林</t>
        </is>
      </c>
      <c r="H19" s="5" t="inlineStr">
        <is>
          <t>③</t>
        </is>
      </c>
      <c r="I19" s="6" t="inlineStr"/>
    </row>
    <row r="20">
      <c r="A20" s="4" t="n">
        <v>10</v>
      </c>
      <c r="B20" s="5" t="n">
        <v>0.2</v>
      </c>
      <c r="C20" s="5">
        <f>A20*B20</f>
        <v/>
      </c>
      <c r="D20" s="6" t="inlineStr">
        <is>
          <t>社用車 納車時の保険屋連絡</t>
        </is>
      </c>
      <c r="E20" s="5" t="inlineStr">
        <is>
          <t>都度</t>
        </is>
      </c>
      <c r="F20" s="5" t="inlineStr">
        <is>
          <t>都度</t>
        </is>
      </c>
      <c r="G20" s="5" t="inlineStr">
        <is>
          <t>千田</t>
        </is>
      </c>
      <c r="H20" s="5" t="inlineStr">
        <is>
          <t>①</t>
        </is>
      </c>
      <c r="I20" s="6" t="inlineStr"/>
    </row>
    <row r="21">
      <c r="A21" s="4" t="n">
        <v>15</v>
      </c>
      <c r="B21" s="5" t="n">
        <v>1</v>
      </c>
      <c r="C21" s="5">
        <f>A21*B21</f>
        <v/>
      </c>
      <c r="D21" s="6" t="inlineStr">
        <is>
          <t>社用車管理（サーバー情報更新）</t>
        </is>
      </c>
      <c r="E21" s="5" t="inlineStr">
        <is>
          <t>都度</t>
        </is>
      </c>
      <c r="F21" s="5" t="inlineStr">
        <is>
          <t>都度</t>
        </is>
      </c>
      <c r="G21" s="5" t="inlineStr">
        <is>
          <t>千田</t>
        </is>
      </c>
      <c r="H21" s="5" t="inlineStr">
        <is>
          <t>①</t>
        </is>
      </c>
      <c r="I21" s="6" t="inlineStr"/>
    </row>
    <row r="22">
      <c r="A22" s="4" t="n">
        <v>30</v>
      </c>
      <c r="B22" s="5" t="n">
        <v>1</v>
      </c>
      <c r="C22" s="5">
        <f>A22*B22</f>
        <v/>
      </c>
      <c r="D22" s="6" t="inlineStr">
        <is>
          <t>人員管理表作成・管理</t>
        </is>
      </c>
      <c r="E22" s="5" t="inlineStr">
        <is>
          <t>都度</t>
        </is>
      </c>
      <c r="F22" s="5" t="inlineStr">
        <is>
          <t>都度</t>
        </is>
      </c>
      <c r="G22" s="5" t="inlineStr">
        <is>
          <t>林</t>
        </is>
      </c>
      <c r="H22" s="5" t="inlineStr">
        <is>
          <t>④</t>
        </is>
      </c>
      <c r="I22" s="6" t="inlineStr"/>
    </row>
    <row r="23">
      <c r="B23" s="2" t="inlineStr">
        <is>
          <t>合計</t>
        </is>
      </c>
      <c r="C23" s="2">
        <f>SUM(C2:C22)</f>
        <v/>
      </c>
    </row>
    <row r="24">
      <c r="B24" s="2" t="inlineStr">
        <is>
          <t>時間換算</t>
        </is>
      </c>
      <c r="C24" s="2">
        <f>ROUND(C23/60,1)</f>
        <v/>
      </c>
      <c r="D24" t="inlineStr">
        <is>
          <t>時間/月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52" customWidth="1" min="4" max="4"/>
    <col width="10" customWidth="1" min="5" max="5"/>
    <col width="12" customWidth="1" min="6" max="6"/>
    <col width="10" customWidth="1" min="7" max="7"/>
    <col width="8" customWidth="1" min="8" max="8"/>
    <col width="48" customWidth="1" min="9" max="9"/>
  </cols>
  <sheetData>
    <row r="1">
      <c r="A1" s="3" t="inlineStr">
        <is>
          <t>標準時間
（分/回）</t>
        </is>
      </c>
      <c r="B1" s="3" t="inlineStr">
        <is>
          <t>月あたり
回数(想定)</t>
        </is>
      </c>
      <c r="C1" s="3" t="inlineStr">
        <is>
          <t>月間合計
（分）</t>
        </is>
      </c>
      <c r="D1" s="3" t="inlineStr">
        <is>
          <t>業務</t>
        </is>
      </c>
      <c r="E1" s="3" t="inlineStr">
        <is>
          <t>頻度</t>
        </is>
      </c>
      <c r="F1" s="3" t="inlineStr">
        <is>
          <t>時期</t>
        </is>
      </c>
      <c r="G1" s="3" t="inlineStr">
        <is>
          <t>担当</t>
        </is>
      </c>
      <c r="H1" s="3" t="inlineStr">
        <is>
          <t>熟練度</t>
        </is>
      </c>
      <c r="I1" s="3" t="inlineStr">
        <is>
          <t>標準時間の根拠・前提</t>
        </is>
      </c>
    </row>
    <row r="2">
      <c r="A2" s="4" t="n">
        <v>15</v>
      </c>
      <c r="B2" s="5" t="n">
        <v>8</v>
      </c>
      <c r="C2" s="5">
        <f>A2*B2</f>
        <v/>
      </c>
      <c r="D2" s="6" t="inlineStr">
        <is>
          <t>小口清算＋金庫内確認（1回あたり）</t>
        </is>
      </c>
      <c r="E2" s="5" t="inlineStr">
        <is>
          <t>都度</t>
        </is>
      </c>
      <c r="F2" s="5" t="inlineStr">
        <is>
          <t>都度</t>
        </is>
      </c>
      <c r="G2" s="5" t="inlineStr">
        <is>
          <t>千田・林</t>
        </is>
      </c>
      <c r="H2" s="5" t="inlineStr">
        <is>
          <t>④</t>
        </is>
      </c>
      <c r="I2" s="6" t="inlineStr">
        <is>
          <t>週2回想定</t>
        </is>
      </c>
    </row>
    <row r="3">
      <c r="A3" s="4" t="n">
        <v>30</v>
      </c>
      <c r="B3" s="5" t="n">
        <v>1</v>
      </c>
      <c r="C3" s="5">
        <f>A3*B3</f>
        <v/>
      </c>
      <c r="D3" s="6" t="inlineStr">
        <is>
          <t>セブン銀行で小口引き出し</t>
        </is>
      </c>
      <c r="E3" s="5" t="inlineStr">
        <is>
          <t>月1回</t>
        </is>
      </c>
      <c r="F3" s="5" t="inlineStr">
        <is>
          <t>下旬</t>
        </is>
      </c>
      <c r="G3" s="5" t="inlineStr">
        <is>
          <t>千田・林</t>
        </is>
      </c>
      <c r="H3" s="5" t="inlineStr">
        <is>
          <t>②</t>
        </is>
      </c>
      <c r="I3" s="6" t="inlineStr">
        <is>
          <t>移動込み</t>
        </is>
      </c>
    </row>
    <row r="4">
      <c r="A4" s="4" t="n">
        <v>15</v>
      </c>
      <c r="B4" s="5" t="n">
        <v>0.5</v>
      </c>
      <c r="C4" s="5">
        <f>A4*B4</f>
        <v/>
      </c>
      <c r="D4" s="6" t="inlineStr">
        <is>
          <t>給与振込口座登録</t>
        </is>
      </c>
      <c r="E4" s="5" t="inlineStr">
        <is>
          <t>都度</t>
        </is>
      </c>
      <c r="F4" s="5" t="inlineStr">
        <is>
          <t>中旬</t>
        </is>
      </c>
      <c r="G4" s="5" t="inlineStr">
        <is>
          <t>千田</t>
        </is>
      </c>
      <c r="H4" s="5" t="inlineStr">
        <is>
          <t>①</t>
        </is>
      </c>
      <c r="I4" s="6" t="inlineStr">
        <is>
          <t>Excel更新込み</t>
        </is>
      </c>
    </row>
    <row r="5">
      <c r="A5" s="4" t="n">
        <v>60</v>
      </c>
      <c r="B5" s="5" t="n">
        <v>1</v>
      </c>
      <c r="C5" s="5">
        <f>A5*B5</f>
        <v/>
      </c>
      <c r="D5" s="6" t="inlineStr">
        <is>
          <t>給与・賞与振込</t>
        </is>
      </c>
      <c r="E5" s="5" t="inlineStr">
        <is>
          <t>月1回</t>
        </is>
      </c>
      <c r="F5" s="5" t="inlineStr">
        <is>
          <t>中旬</t>
        </is>
      </c>
      <c r="G5" s="5" t="inlineStr">
        <is>
          <t>千田</t>
        </is>
      </c>
      <c r="H5" s="5" t="inlineStr">
        <is>
          <t>①</t>
        </is>
      </c>
      <c r="I5" s="6" t="inlineStr">
        <is>
          <t>会長とのワンタイムキー待ちは除く</t>
        </is>
      </c>
    </row>
    <row r="6">
      <c r="A6" s="4" t="n">
        <v>20</v>
      </c>
      <c r="B6" s="5" t="n">
        <v>1</v>
      </c>
      <c r="C6" s="5">
        <f>A6*B6</f>
        <v/>
      </c>
      <c r="D6" s="6" t="inlineStr">
        <is>
          <t>年金振込＋小口ファイル格納</t>
        </is>
      </c>
      <c r="E6" s="5" t="inlineStr">
        <is>
          <t>月1回</t>
        </is>
      </c>
      <c r="F6" s="5" t="inlineStr">
        <is>
          <t>下旬</t>
        </is>
      </c>
      <c r="G6" s="5" t="inlineStr">
        <is>
          <t>千田・林</t>
        </is>
      </c>
      <c r="H6" s="5" t="inlineStr">
        <is>
          <t>②</t>
        </is>
      </c>
      <c r="I6" s="6" t="inlineStr"/>
    </row>
    <row r="7">
      <c r="A7" s="4" t="n">
        <v>20</v>
      </c>
      <c r="B7" s="5" t="n">
        <v>0.5</v>
      </c>
      <c r="C7" s="5">
        <f>A7*B7</f>
        <v/>
      </c>
      <c r="D7" s="6" t="inlineStr">
        <is>
          <t>駐車場代振込設定・削除</t>
        </is>
      </c>
      <c r="E7" s="5" t="inlineStr">
        <is>
          <t>都度</t>
        </is>
      </c>
      <c r="F7" s="5" t="inlineStr">
        <is>
          <t>都度</t>
        </is>
      </c>
      <c r="G7" s="5" t="inlineStr">
        <is>
          <t>千田</t>
        </is>
      </c>
      <c r="H7" s="5" t="inlineStr">
        <is>
          <t>①</t>
        </is>
      </c>
      <c r="I7" s="6" t="inlineStr">
        <is>
          <t>会長承認待ちは除く</t>
        </is>
      </c>
    </row>
    <row r="8">
      <c r="A8" s="4" t="n">
        <v>60</v>
      </c>
      <c r="B8" s="5" t="n">
        <v>0.3</v>
      </c>
      <c r="C8" s="5">
        <f>A8*B8</f>
        <v/>
      </c>
      <c r="D8" s="6" t="inlineStr">
        <is>
          <t>駐車場契約手続き（新規・更新・解約）</t>
        </is>
      </c>
      <c r="E8" s="5" t="inlineStr">
        <is>
          <t>都度</t>
        </is>
      </c>
      <c r="F8" s="5" t="inlineStr">
        <is>
          <t>都度</t>
        </is>
      </c>
      <c r="G8" s="5" t="inlineStr">
        <is>
          <t>千田</t>
        </is>
      </c>
      <c r="H8" s="5" t="inlineStr">
        <is>
          <t>①</t>
        </is>
      </c>
      <c r="I8" s="6" t="inlineStr">
        <is>
          <t>1件あたり</t>
        </is>
      </c>
    </row>
    <row r="9">
      <c r="A9" s="4" t="n">
        <v>20</v>
      </c>
      <c r="B9" s="5" t="n">
        <v>3</v>
      </c>
      <c r="C9" s="5">
        <f>A9*B9</f>
        <v/>
      </c>
      <c r="D9" s="6" t="inlineStr">
        <is>
          <t>備品購入（ネット注文）</t>
        </is>
      </c>
      <c r="E9" s="5" t="inlineStr">
        <is>
          <t>都度</t>
        </is>
      </c>
      <c r="F9" s="5" t="inlineStr">
        <is>
          <t>都度</t>
        </is>
      </c>
      <c r="G9" s="5" t="inlineStr">
        <is>
          <t>千田</t>
        </is>
      </c>
      <c r="H9" s="5" t="inlineStr">
        <is>
          <t>①</t>
        </is>
      </c>
      <c r="I9" s="6" t="inlineStr">
        <is>
          <t>店頭購入は移動込み45分</t>
        </is>
      </c>
    </row>
    <row r="10">
      <c r="A10" s="4" t="n">
        <v>30</v>
      </c>
      <c r="B10" s="5" t="n">
        <v>1</v>
      </c>
      <c r="C10" s="5">
        <f>A10*B10</f>
        <v/>
      </c>
      <c r="D10" s="6" t="inlineStr">
        <is>
          <t>香喜心へオンコール担当・有給報告メール</t>
        </is>
      </c>
      <c r="E10" s="5" t="inlineStr">
        <is>
          <t>月1回</t>
        </is>
      </c>
      <c r="F10" s="5" t="inlineStr">
        <is>
          <t>月初</t>
        </is>
      </c>
      <c r="G10" s="5" t="inlineStr">
        <is>
          <t>千田</t>
        </is>
      </c>
      <c r="H10" s="5" t="inlineStr">
        <is>
          <t>①</t>
        </is>
      </c>
      <c r="I10" s="6" t="inlineStr"/>
    </row>
    <row r="11">
      <c r="A11" s="4" t="n">
        <v>45</v>
      </c>
      <c r="B11" s="5" t="n">
        <v>1</v>
      </c>
      <c r="C11" s="5">
        <f>A11*B11</f>
        <v/>
      </c>
      <c r="D11" s="6" t="inlineStr">
        <is>
          <t>ファクタリング会社へメール（合計・返戻・月遅れ額計算）</t>
        </is>
      </c>
      <c r="E11" s="5" t="inlineStr">
        <is>
          <t>月1回</t>
        </is>
      </c>
      <c r="F11" s="5" t="inlineStr">
        <is>
          <t>10日まで</t>
        </is>
      </c>
      <c r="G11" s="5" t="inlineStr">
        <is>
          <t>千田・林</t>
        </is>
      </c>
      <c r="H11" s="5" t="inlineStr">
        <is>
          <t>③</t>
        </is>
      </c>
      <c r="I11" s="6" t="inlineStr"/>
    </row>
    <row r="12">
      <c r="A12" s="4" t="n">
        <v>20</v>
      </c>
      <c r="B12" s="5" t="n">
        <v>0.3</v>
      </c>
      <c r="C12" s="5">
        <f>A12*B12</f>
        <v/>
      </c>
      <c r="D12" s="6" t="inlineStr">
        <is>
          <t>名刺発注</t>
        </is>
      </c>
      <c r="E12" s="5" t="inlineStr">
        <is>
          <t>都度</t>
        </is>
      </c>
      <c r="F12" s="5" t="inlineStr">
        <is>
          <t>都度</t>
        </is>
      </c>
      <c r="G12" s="5" t="inlineStr">
        <is>
          <t>千田</t>
        </is>
      </c>
      <c r="H12" s="5" t="inlineStr">
        <is>
          <t>①</t>
        </is>
      </c>
      <c r="I12" s="6" t="inlineStr"/>
    </row>
    <row r="13">
      <c r="A13" s="4" t="n">
        <v>90</v>
      </c>
      <c r="B13" s="5" t="n">
        <v>0.3</v>
      </c>
      <c r="C13" s="5">
        <f>A13*B13</f>
        <v/>
      </c>
      <c r="D13" s="6" t="inlineStr">
        <is>
          <t>新入職員準備①（iPhone・タブレット・備品・名刺 発注等）</t>
        </is>
      </c>
      <c r="E13" s="5" t="inlineStr">
        <is>
          <t>都度</t>
        </is>
      </c>
      <c r="F13" s="5" t="inlineStr">
        <is>
          <t>都度</t>
        </is>
      </c>
      <c r="G13" s="5" t="inlineStr">
        <is>
          <t>千田・林</t>
        </is>
      </c>
      <c r="H13" s="5" t="inlineStr">
        <is>
          <t>②</t>
        </is>
      </c>
      <c r="I13" s="6" t="inlineStr">
        <is>
          <t>1名あたり</t>
        </is>
      </c>
    </row>
    <row r="14">
      <c r="A14" s="4" t="n">
        <v>20</v>
      </c>
      <c r="B14" s="5" t="n">
        <v>1</v>
      </c>
      <c r="C14" s="5">
        <f>A14*B14</f>
        <v/>
      </c>
      <c r="D14" s="6" t="inlineStr">
        <is>
          <t>レストランチケットチャージ</t>
        </is>
      </c>
      <c r="E14" s="5" t="inlineStr">
        <is>
          <t>月1回</t>
        </is>
      </c>
      <c r="F14" s="5" t="inlineStr">
        <is>
          <t>下旬</t>
        </is>
      </c>
      <c r="G14" s="5" t="inlineStr">
        <is>
          <t>千田</t>
        </is>
      </c>
      <c r="H14" s="5" t="inlineStr">
        <is>
          <t>①</t>
        </is>
      </c>
      <c r="I14" s="6" t="inlineStr">
        <is>
          <t>新規カード発行時+15分</t>
        </is>
      </c>
    </row>
    <row r="15">
      <c r="A15" s="4" t="n">
        <v>20</v>
      </c>
      <c r="B15" s="5" t="n">
        <v>0.3</v>
      </c>
      <c r="C15" s="5">
        <f>A15*B15</f>
        <v/>
      </c>
      <c r="D15" s="6" t="inlineStr">
        <is>
          <t>入社連絡（香喜心・さくら会計へメール）</t>
        </is>
      </c>
      <c r="E15" s="5" t="inlineStr">
        <is>
          <t>都度</t>
        </is>
      </c>
      <c r="F15" s="5" t="inlineStr">
        <is>
          <t>都度</t>
        </is>
      </c>
      <c r="G15" s="5" t="inlineStr">
        <is>
          <t>千田</t>
        </is>
      </c>
      <c r="H15" s="5" t="inlineStr">
        <is>
          <t>①</t>
        </is>
      </c>
      <c r="I15" s="6" t="inlineStr">
        <is>
          <t>1名あたり</t>
        </is>
      </c>
    </row>
    <row r="16">
      <c r="A16" s="4" t="n">
        <v>120</v>
      </c>
      <c r="B16" s="5" t="n">
        <v>0.3</v>
      </c>
      <c r="C16" s="5">
        <f>A16*B16</f>
        <v/>
      </c>
      <c r="D16" s="6" t="inlineStr">
        <is>
          <t>入職者準備②（端末設定・貸与品・合鍵等）</t>
        </is>
      </c>
      <c r="E16" s="5" t="inlineStr">
        <is>
          <t>都度</t>
        </is>
      </c>
      <c r="F16" s="5" t="inlineStr">
        <is>
          <t>都度</t>
        </is>
      </c>
      <c r="G16" s="5" t="inlineStr">
        <is>
          <t>千田・林</t>
        </is>
      </c>
      <c r="H16" s="5" t="inlineStr">
        <is>
          <t>③</t>
        </is>
      </c>
      <c r="I16" s="6" t="inlineStr">
        <is>
          <t>1名あたり</t>
        </is>
      </c>
    </row>
    <row r="17">
      <c r="A17" s="4" t="n">
        <v>120</v>
      </c>
      <c r="B17" s="5" t="n">
        <v>0.2</v>
      </c>
      <c r="C17" s="5">
        <f>A17*B17</f>
        <v/>
      </c>
      <c r="D17" s="6" t="inlineStr">
        <is>
          <t>退職者処理</t>
        </is>
      </c>
      <c r="E17" s="5" t="inlineStr">
        <is>
          <t>都度</t>
        </is>
      </c>
      <c r="F17" s="5" t="inlineStr">
        <is>
          <t>都度</t>
        </is>
      </c>
      <c r="G17" s="5" t="inlineStr">
        <is>
          <t>千田・林</t>
        </is>
      </c>
      <c r="H17" s="5" t="inlineStr">
        <is>
          <t>③</t>
        </is>
      </c>
      <c r="I17" s="6" t="inlineStr">
        <is>
          <t>1名あたり</t>
        </is>
      </c>
    </row>
    <row r="18">
      <c r="A18" s="4" t="n">
        <v>120</v>
      </c>
      <c r="B18" s="5" t="n">
        <v>0.3</v>
      </c>
      <c r="C18" s="5">
        <f>A18*B18</f>
        <v/>
      </c>
      <c r="D18" s="6" t="inlineStr">
        <is>
          <t>各種届出提出（実施状況報告・ベースアップ評価料・アンケート等）</t>
        </is>
      </c>
      <c r="E18" s="5" t="inlineStr">
        <is>
          <t>都度</t>
        </is>
      </c>
      <c r="F18" s="5" t="inlineStr">
        <is>
          <t>都度</t>
        </is>
      </c>
      <c r="G18" s="5" t="inlineStr">
        <is>
          <t>千田</t>
        </is>
      </c>
      <c r="H18" s="5" t="inlineStr">
        <is>
          <t>①</t>
        </is>
      </c>
      <c r="I18" s="6" t="inlineStr">
        <is>
          <t>届出により30~240分と幅大</t>
        </is>
      </c>
    </row>
    <row r="19">
      <c r="A19" s="4" t="n">
        <v>30</v>
      </c>
      <c r="B19" s="5" t="n">
        <v>0.3</v>
      </c>
      <c r="C19" s="5">
        <f>A19*B19</f>
        <v/>
      </c>
      <c r="D19" s="6" t="inlineStr">
        <is>
          <t>基本療養費に係る届出（新入職員時）</t>
        </is>
      </c>
      <c r="E19" s="5" t="inlineStr">
        <is>
          <t>都度</t>
        </is>
      </c>
      <c r="F19" s="5" t="inlineStr">
        <is>
          <t>都度</t>
        </is>
      </c>
      <c r="G19" s="5" t="inlineStr">
        <is>
          <t>千田・林</t>
        </is>
      </c>
      <c r="H19" s="5" t="inlineStr">
        <is>
          <t>③</t>
        </is>
      </c>
      <c r="I19" s="6" t="inlineStr"/>
    </row>
    <row r="20">
      <c r="A20" s="4" t="n">
        <v>30</v>
      </c>
      <c r="B20" s="5" t="n">
        <v>0.1</v>
      </c>
      <c r="C20" s="5">
        <f>A20*B20</f>
        <v/>
      </c>
      <c r="D20" s="6" t="inlineStr">
        <is>
          <t>サーバー設定・接続</t>
        </is>
      </c>
      <c r="E20" s="5" t="inlineStr">
        <is>
          <t>都度</t>
        </is>
      </c>
      <c r="F20" s="5" t="inlineStr">
        <is>
          <t>都度</t>
        </is>
      </c>
      <c r="G20" s="5" t="inlineStr">
        <is>
          <t>林</t>
        </is>
      </c>
      <c r="H20" s="5" t="inlineStr">
        <is>
          <t>④</t>
        </is>
      </c>
      <c r="I20" s="6" t="inlineStr"/>
    </row>
    <row r="21">
      <c r="A21" s="4" t="n">
        <v>30</v>
      </c>
      <c r="B21" s="5" t="n">
        <v>1</v>
      </c>
      <c r="C21" s="5">
        <f>A21*B21</f>
        <v/>
      </c>
      <c r="D21" s="6" t="inlineStr">
        <is>
          <t>電気料金支払い（コンビニ）＋出納帳入力</t>
        </is>
      </c>
      <c r="E21" s="5" t="inlineStr">
        <is>
          <t>都度</t>
        </is>
      </c>
      <c r="F21" s="5" t="inlineStr">
        <is>
          <t>都度</t>
        </is>
      </c>
      <c r="G21" s="5" t="inlineStr">
        <is>
          <t>千田・林</t>
        </is>
      </c>
      <c r="H21" s="5" t="inlineStr">
        <is>
          <t>-</t>
        </is>
      </c>
      <c r="I21" s="6" t="inlineStr">
        <is>
          <t>※洗い出しリストにあり、表C未掲載</t>
        </is>
      </c>
    </row>
    <row r="22">
      <c r="A22" s="4" t="n">
        <v>30</v>
      </c>
      <c r="B22" s="5" t="n">
        <v>1</v>
      </c>
      <c r="C22" s="5">
        <f>A22*B22</f>
        <v/>
      </c>
      <c r="D22" s="6" t="inlineStr">
        <is>
          <t>会長へ小口口座入金依頼（出納帳・必要額計算）</t>
        </is>
      </c>
      <c r="E22" s="5" t="inlineStr">
        <is>
          <t>月1回</t>
        </is>
      </c>
      <c r="F22" s="5" t="inlineStr">
        <is>
          <t>下旬</t>
        </is>
      </c>
      <c r="G22" s="5" t="inlineStr">
        <is>
          <t>千田</t>
        </is>
      </c>
      <c r="H22" s="5" t="inlineStr">
        <is>
          <t>①</t>
        </is>
      </c>
      <c r="I22" s="6" t="inlineStr"/>
    </row>
    <row r="23">
      <c r="B23" s="2" t="inlineStr">
        <is>
          <t>合計</t>
        </is>
      </c>
      <c r="C23" s="2">
        <f>SUM(C2:C22)</f>
        <v/>
      </c>
    </row>
    <row r="24">
      <c r="B24" s="2" t="inlineStr">
        <is>
          <t>時間換算</t>
        </is>
      </c>
      <c r="C24" s="2">
        <f>ROUND(C23/60,1)</f>
        <v/>
      </c>
      <c r="D24" t="inlineStr">
        <is>
          <t>時間/月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0" customWidth="1" min="3" max="3"/>
    <col width="11" customWidth="1" min="4" max="4"/>
    <col width="11" customWidth="1" min="5" max="5"/>
    <col width="11" customWidth="1" min="6" max="6"/>
  </cols>
  <sheetData>
    <row r="1">
      <c r="A1" s="3" t="inlineStr">
        <is>
          <t>日付</t>
        </is>
      </c>
      <c r="B1" s="3" t="inlineStr">
        <is>
          <t>曜日</t>
        </is>
      </c>
      <c r="C1" s="3" t="inlineStr">
        <is>
          <t>業務</t>
        </is>
      </c>
      <c r="D1" s="3" t="inlineStr">
        <is>
          <t>標準時間
（分）</t>
        </is>
      </c>
      <c r="E1" s="3" t="inlineStr">
        <is>
          <t>日合計
（分）</t>
        </is>
      </c>
      <c r="F1" s="3" t="inlineStr">
        <is>
          <t>日合計
（時間）</t>
        </is>
      </c>
    </row>
    <row r="2">
      <c r="A2" s="5" t="inlineStr">
        <is>
          <t>9/1</t>
        </is>
      </c>
      <c r="B2" s="5" t="inlineStr">
        <is>
          <t>火</t>
        </is>
      </c>
      <c r="C2" s="6" t="inlineStr">
        <is>
          <t>実績報告</t>
        </is>
      </c>
      <c r="D2" s="4" t="n">
        <v>15</v>
      </c>
      <c r="E2" s="5">
        <f>SUM(D2:D6)</f>
        <v/>
      </c>
      <c r="F2" s="5">
        <f>ROUND(E2/60,1)</f>
        <v/>
      </c>
    </row>
    <row r="3">
      <c r="A3" s="5" t="n"/>
      <c r="B3" s="5" t="n"/>
      <c r="C3" s="6" t="inlineStr">
        <is>
          <t>指示書登録</t>
        </is>
      </c>
      <c r="D3" s="4" t="n">
        <v>30</v>
      </c>
      <c r="E3" s="5" t="n"/>
      <c r="F3" s="5" t="n"/>
    </row>
    <row r="4">
      <c r="A4" s="5" t="n"/>
      <c r="B4" s="5" t="n"/>
      <c r="C4" s="6" t="inlineStr">
        <is>
          <t>上限金額確認</t>
        </is>
      </c>
      <c r="D4" s="4" t="n">
        <v>45</v>
      </c>
      <c r="E4" s="5" t="n"/>
      <c r="F4" s="5" t="n"/>
    </row>
    <row r="5">
      <c r="A5" s="5" t="n"/>
      <c r="B5" s="5" t="n"/>
      <c r="C5" s="6" t="inlineStr">
        <is>
          <t>保険確認</t>
        </is>
      </c>
      <c r="D5" s="4" t="n">
        <v>45</v>
      </c>
      <c r="E5" s="5" t="n"/>
      <c r="F5" s="5" t="n"/>
    </row>
    <row r="6">
      <c r="A6" s="5" t="n"/>
      <c r="B6" s="5" t="n"/>
      <c r="C6" s="6" t="inlineStr">
        <is>
          <t>小口</t>
        </is>
      </c>
      <c r="D6" s="4" t="n">
        <v>15</v>
      </c>
      <c r="E6" s="5" t="n"/>
      <c r="F6" s="5" t="n"/>
    </row>
    <row r="7">
      <c r="A7" s="5" t="inlineStr">
        <is>
          <t>9/3</t>
        </is>
      </c>
      <c r="B7" s="5" t="inlineStr">
        <is>
          <t>木</t>
        </is>
      </c>
      <c r="C7" s="6" t="inlineStr">
        <is>
          <t>実績報告</t>
        </is>
      </c>
      <c r="D7" s="4" t="n">
        <v>15</v>
      </c>
      <c r="E7" s="5">
        <f>SUM(D7:D11)</f>
        <v/>
      </c>
      <c r="F7" s="5">
        <f>ROUND(E7/60,1)</f>
        <v/>
      </c>
    </row>
    <row r="8">
      <c r="A8" s="5" t="n"/>
      <c r="B8" s="5" t="n"/>
      <c r="C8" s="6" t="inlineStr">
        <is>
          <t>上限金額確認</t>
        </is>
      </c>
      <c r="D8" s="4" t="n">
        <v>30</v>
      </c>
      <c r="E8" s="5" t="n"/>
      <c r="F8" s="5" t="n"/>
    </row>
    <row r="9">
      <c r="A9" s="5" t="n"/>
      <c r="B9" s="5" t="n"/>
      <c r="C9" s="6" t="inlineStr">
        <is>
          <t>基本療養費確認</t>
        </is>
      </c>
      <c r="D9" s="4" t="n">
        <v>30</v>
      </c>
      <c r="E9" s="5" t="n"/>
      <c r="F9" s="5" t="n"/>
    </row>
    <row r="10">
      <c r="A10" s="5" t="n"/>
      <c r="B10" s="5" t="n"/>
      <c r="C10" s="6" t="inlineStr">
        <is>
          <t>小口処理</t>
        </is>
      </c>
      <c r="D10" s="4" t="n">
        <v>15</v>
      </c>
      <c r="E10" s="5" t="n"/>
      <c r="F10" s="5" t="n"/>
    </row>
    <row r="11">
      <c r="A11" s="5" t="n"/>
      <c r="B11" s="5" t="n"/>
      <c r="C11" s="6" t="inlineStr">
        <is>
          <t>計画書・報告書（印刷）</t>
        </is>
      </c>
      <c r="D11" s="4" t="n">
        <v>60</v>
      </c>
      <c r="E11" s="5" t="n"/>
      <c r="F11" s="5" t="n"/>
    </row>
    <row r="12">
      <c r="A12" s="5" t="inlineStr">
        <is>
          <t>9/4</t>
        </is>
      </c>
      <c r="B12" s="5" t="inlineStr">
        <is>
          <t>金</t>
        </is>
      </c>
      <c r="C12" s="6" t="inlineStr">
        <is>
          <t>実績報告</t>
        </is>
      </c>
      <c r="D12" s="4" t="n">
        <v>15</v>
      </c>
      <c r="E12" s="5">
        <f>SUM(D12:D17)</f>
        <v/>
      </c>
      <c r="F12" s="5">
        <f>ROUND(E12/60,1)</f>
        <v/>
      </c>
    </row>
    <row r="13">
      <c r="A13" s="5" t="n"/>
      <c r="B13" s="5" t="n"/>
      <c r="C13" s="6" t="inlineStr">
        <is>
          <t>計画書・報告書（印刷つづき・封入）</t>
        </is>
      </c>
      <c r="D13" s="4" t="n">
        <v>60</v>
      </c>
      <c r="E13" s="5" t="n"/>
      <c r="F13" s="5" t="n"/>
    </row>
    <row r="14">
      <c r="A14" s="5" t="n"/>
      <c r="B14" s="5" t="n"/>
      <c r="C14" s="6" t="inlineStr">
        <is>
          <t>レセプト準備</t>
        </is>
      </c>
      <c r="D14" s="4" t="n">
        <v>60</v>
      </c>
      <c r="E14" s="5" t="n"/>
      <c r="F14" s="5" t="n"/>
    </row>
    <row r="15">
      <c r="A15" s="5" t="n"/>
      <c r="B15" s="5" t="n"/>
      <c r="C15" s="6" t="inlineStr">
        <is>
          <t>入金確認</t>
        </is>
      </c>
      <c r="D15" s="4" t="n">
        <v>30</v>
      </c>
      <c r="E15" s="5" t="n"/>
      <c r="F15" s="5" t="n"/>
    </row>
    <row r="16">
      <c r="A16" s="5" t="n"/>
      <c r="B16" s="5" t="n"/>
      <c r="C16" s="6" t="inlineStr">
        <is>
          <t>渋谷社長報告準備</t>
        </is>
      </c>
      <c r="D16" s="4" t="n">
        <v>30</v>
      </c>
      <c r="E16" s="5" t="n"/>
      <c r="F16" s="5" t="n"/>
    </row>
    <row r="17">
      <c r="A17" s="5" t="n"/>
      <c r="B17" s="5" t="n"/>
      <c r="C17" s="6" t="inlineStr">
        <is>
          <t>ミーティング</t>
        </is>
      </c>
      <c r="D17" s="4" t="n">
        <v>30</v>
      </c>
      <c r="E17" s="5" t="n"/>
      <c r="F17" s="5" t="n"/>
    </row>
    <row r="18">
      <c r="A18" s="5" t="inlineStr">
        <is>
          <t>9/7</t>
        </is>
      </c>
      <c r="B18" s="5" t="inlineStr">
        <is>
          <t>月</t>
        </is>
      </c>
      <c r="C18" s="6" t="inlineStr">
        <is>
          <t>実績報告</t>
        </is>
      </c>
      <c r="D18" s="4" t="n">
        <v>15</v>
      </c>
      <c r="E18" s="5">
        <f>SUM(D18:D19)</f>
        <v/>
      </c>
      <c r="F18" s="5">
        <f>ROUND(E18/60,1)</f>
        <v/>
      </c>
    </row>
    <row r="19">
      <c r="A19" s="5" t="n"/>
      <c r="B19" s="5" t="n"/>
      <c r="C19" s="6" t="inlineStr">
        <is>
          <t>返戻確認</t>
        </is>
      </c>
      <c r="D19" s="4" t="n">
        <v>30</v>
      </c>
      <c r="E19" s="5" t="n"/>
      <c r="F19" s="5" t="n"/>
    </row>
    <row r="20">
      <c r="A20" s="5" t="inlineStr">
        <is>
          <t>9/8</t>
        </is>
      </c>
      <c r="B20" s="5" t="inlineStr">
        <is>
          <t>火</t>
        </is>
      </c>
      <c r="C20" s="6" t="inlineStr">
        <is>
          <t>実績報告</t>
        </is>
      </c>
      <c r="D20" s="4" t="n">
        <v>15</v>
      </c>
      <c r="E20" s="5">
        <f>SUM(D20:D24)</f>
        <v/>
      </c>
      <c r="F20" s="5">
        <f>ROUND(E20/60,1)</f>
        <v/>
      </c>
    </row>
    <row r="21">
      <c r="A21" s="5" t="n"/>
      <c r="B21" s="5" t="n"/>
      <c r="C21" s="6" t="inlineStr">
        <is>
          <t>レセプト伝送</t>
        </is>
      </c>
      <c r="D21" s="4" t="n">
        <v>30</v>
      </c>
      <c r="E21" s="5" t="n"/>
      <c r="F21" s="5" t="n"/>
    </row>
    <row r="22">
      <c r="A22" s="5" t="n"/>
      <c r="B22" s="5" t="n"/>
      <c r="C22" s="6" t="inlineStr">
        <is>
          <t>渋谷社長報告</t>
        </is>
      </c>
      <c r="D22" s="4" t="n">
        <v>30</v>
      </c>
      <c r="E22" s="5" t="n"/>
      <c r="F22" s="5" t="n"/>
    </row>
    <row r="23">
      <c r="A23" s="5" t="n"/>
      <c r="B23" s="5" t="n"/>
      <c r="C23" s="6" t="inlineStr">
        <is>
          <t>ファクタリング資料</t>
        </is>
      </c>
      <c r="D23" s="4" t="n">
        <v>30</v>
      </c>
      <c r="E23" s="5" t="n"/>
      <c r="F23" s="5" t="n"/>
    </row>
    <row r="24">
      <c r="A24" s="5" t="n"/>
      <c r="B24" s="5" t="n"/>
      <c r="C24" s="6" t="inlineStr">
        <is>
          <t>ベースアップ評価料の届出</t>
        </is>
      </c>
      <c r="D24" s="4" t="n">
        <v>90</v>
      </c>
      <c r="E24" s="5" t="n"/>
      <c r="F24" s="5" t="n"/>
    </row>
    <row r="25">
      <c r="A25" s="5" t="inlineStr">
        <is>
          <t>9/12</t>
        </is>
      </c>
      <c r="B25" s="5" t="inlineStr">
        <is>
          <t>土</t>
        </is>
      </c>
      <c r="C25" s="6" t="inlineStr">
        <is>
          <t>実績報告</t>
        </is>
      </c>
      <c r="D25" s="4" t="n">
        <v>15</v>
      </c>
      <c r="E25" s="5">
        <f>SUM(D25:D29)</f>
        <v/>
      </c>
      <c r="F25" s="5">
        <f>ROUND(E25/60,1)</f>
        <v/>
      </c>
    </row>
    <row r="26">
      <c r="A26" s="5" t="n"/>
      <c r="B26" s="5" t="n"/>
      <c r="C26" s="6" t="inlineStr">
        <is>
          <t>請求書印刷・発送</t>
        </is>
      </c>
      <c r="D26" s="4" t="n">
        <v>60</v>
      </c>
      <c r="E26" s="5" t="n"/>
      <c r="F26" s="5" t="n"/>
    </row>
    <row r="27">
      <c r="A27" s="5" t="n"/>
      <c r="B27" s="5" t="n"/>
      <c r="C27" s="6" t="inlineStr">
        <is>
          <t>小口処理</t>
        </is>
      </c>
      <c r="D27" s="4" t="n">
        <v>15</v>
      </c>
      <c r="E27" s="5" t="n"/>
      <c r="F27" s="5" t="n"/>
    </row>
    <row r="28">
      <c r="A28" s="5" t="n"/>
      <c r="B28" s="5" t="n"/>
      <c r="C28" s="6" t="inlineStr">
        <is>
          <t>期限切れ確認</t>
        </is>
      </c>
      <c r="D28" s="4" t="n">
        <v>30</v>
      </c>
      <c r="E28" s="5" t="n"/>
      <c r="F28" s="5" t="n"/>
    </row>
    <row r="29">
      <c r="A29" s="5" t="n"/>
      <c r="B29" s="5" t="n"/>
      <c r="C29" s="6" t="inlineStr">
        <is>
          <t>ミーティング</t>
        </is>
      </c>
      <c r="D29" s="4" t="n">
        <v>30</v>
      </c>
      <c r="E29" s="5" t="n"/>
      <c r="F29" s="5" t="n"/>
    </row>
    <row r="30">
      <c r="A30" s="5" t="inlineStr">
        <is>
          <t>9/15</t>
        </is>
      </c>
      <c r="B30" s="5" t="inlineStr">
        <is>
          <t>火</t>
        </is>
      </c>
      <c r="C30" s="6" t="inlineStr">
        <is>
          <t>実績報告</t>
        </is>
      </c>
      <c r="D30" s="4" t="n">
        <v>15</v>
      </c>
      <c r="E30" s="5">
        <f>SUM(D30:D32)</f>
        <v/>
      </c>
      <c r="F30" s="5">
        <f>ROUND(E30/60,1)</f>
        <v/>
      </c>
    </row>
    <row r="31">
      <c r="A31" s="5" t="n"/>
      <c r="B31" s="5" t="n"/>
      <c r="C31" s="6" t="inlineStr">
        <is>
          <t>基本療養費確認</t>
        </is>
      </c>
      <c r="D31" s="4" t="n">
        <v>30</v>
      </c>
      <c r="E31" s="5" t="n"/>
      <c r="F31" s="5" t="n"/>
    </row>
    <row r="32">
      <c r="A32" s="5" t="n"/>
      <c r="B32" s="5" t="n"/>
      <c r="C32" s="6" t="inlineStr">
        <is>
          <t>書類整理</t>
        </is>
      </c>
      <c r="D32" s="4" t="n">
        <v>30</v>
      </c>
      <c r="E32" s="5" t="n"/>
      <c r="F32" s="5" t="n"/>
    </row>
    <row r="33">
      <c r="A33" s="5" t="inlineStr">
        <is>
          <t>9/17</t>
        </is>
      </c>
      <c r="B33" s="5" t="inlineStr">
        <is>
          <t>木</t>
        </is>
      </c>
      <c r="C33" s="6" t="inlineStr">
        <is>
          <t>実績報告</t>
        </is>
      </c>
      <c r="D33" s="4" t="n">
        <v>15</v>
      </c>
      <c r="E33" s="5">
        <f>SUM(D33:D33)</f>
        <v/>
      </c>
      <c r="F33" s="5">
        <f>ROUND(E33/60,1)</f>
        <v/>
      </c>
    </row>
    <row r="34">
      <c r="A34" s="5" t="inlineStr">
        <is>
          <t>9/18</t>
        </is>
      </c>
      <c r="B34" s="5" t="inlineStr">
        <is>
          <t>金</t>
        </is>
      </c>
      <c r="C34" s="6" t="inlineStr">
        <is>
          <t>実績報告</t>
        </is>
      </c>
      <c r="D34" s="4" t="n">
        <v>15</v>
      </c>
      <c r="E34" s="5">
        <f>SUM(D34:D37)</f>
        <v/>
      </c>
      <c r="F34" s="5">
        <f>ROUND(E34/60,1)</f>
        <v/>
      </c>
    </row>
    <row r="35">
      <c r="A35" s="5" t="n"/>
      <c r="B35" s="5" t="n"/>
      <c r="C35" s="6" t="inlineStr">
        <is>
          <t>ミーティング</t>
        </is>
      </c>
      <c r="D35" s="4" t="n">
        <v>30</v>
      </c>
      <c r="E35" s="5" t="n"/>
      <c r="F35" s="5" t="n"/>
    </row>
    <row r="36">
      <c r="A36" s="5" t="n"/>
      <c r="B36" s="5" t="n"/>
      <c r="C36" s="6" t="inlineStr">
        <is>
          <t>書類整理</t>
        </is>
      </c>
      <c r="D36" s="4" t="n">
        <v>30</v>
      </c>
      <c r="E36" s="5" t="n"/>
      <c r="F36" s="5" t="n"/>
    </row>
    <row r="37">
      <c r="A37" s="5" t="n"/>
      <c r="B37" s="5" t="n"/>
      <c r="C37" s="6" t="inlineStr">
        <is>
          <t>ファイリング</t>
        </is>
      </c>
      <c r="D37" s="4" t="n">
        <v>30</v>
      </c>
      <c r="E37" s="5" t="n"/>
      <c r="F37" s="5" t="n"/>
    </row>
    <row r="38">
      <c r="A38" s="5" t="inlineStr">
        <is>
          <t>9/24</t>
        </is>
      </c>
      <c r="B38" s="5" t="inlineStr">
        <is>
          <t>木</t>
        </is>
      </c>
      <c r="C38" s="6" t="inlineStr">
        <is>
          <t>実績報告</t>
        </is>
      </c>
      <c r="D38" s="4" t="n">
        <v>15</v>
      </c>
      <c r="E38" s="5">
        <f>SUM(D38:D40)</f>
        <v/>
      </c>
      <c r="F38" s="5">
        <f>ROUND(E38/60,1)</f>
        <v/>
      </c>
    </row>
    <row r="39">
      <c r="A39" s="5" t="n"/>
      <c r="B39" s="5" t="n"/>
      <c r="C39" s="6" t="inlineStr">
        <is>
          <t>公費・保険確認</t>
        </is>
      </c>
      <c r="D39" s="4" t="n">
        <v>30</v>
      </c>
      <c r="E39" s="5" t="n"/>
      <c r="F39" s="5" t="n"/>
    </row>
    <row r="40">
      <c r="A40" s="5" t="n"/>
      <c r="B40" s="5" t="n"/>
      <c r="C40" s="6" t="inlineStr">
        <is>
          <t>指示書依頼書準備</t>
        </is>
      </c>
      <c r="D40" s="4" t="n">
        <v>45</v>
      </c>
      <c r="E40" s="5" t="n"/>
      <c r="F40" s="5" t="n"/>
    </row>
    <row r="41">
      <c r="A41" s="5" t="inlineStr">
        <is>
          <t>9/25</t>
        </is>
      </c>
      <c r="B41" s="5" t="inlineStr">
        <is>
          <t>金</t>
        </is>
      </c>
      <c r="C41" s="6" t="inlineStr">
        <is>
          <t>実績報告</t>
        </is>
      </c>
      <c r="D41" s="4" t="n">
        <v>15</v>
      </c>
      <c r="E41" s="5">
        <f>SUM(D41:D44)</f>
        <v/>
      </c>
      <c r="F41" s="5">
        <f>ROUND(E41/60,1)</f>
        <v/>
      </c>
    </row>
    <row r="42">
      <c r="A42" s="5" t="n"/>
      <c r="B42" s="5" t="n"/>
      <c r="C42" s="6" t="inlineStr">
        <is>
          <t>上限金額確認</t>
        </is>
      </c>
      <c r="D42" s="4" t="n">
        <v>30</v>
      </c>
      <c r="E42" s="5" t="n"/>
      <c r="F42" s="5" t="n"/>
    </row>
    <row r="43">
      <c r="A43" s="5" t="n"/>
      <c r="B43" s="5" t="n"/>
      <c r="C43" s="6" t="inlineStr">
        <is>
          <t>ミーティング</t>
        </is>
      </c>
      <c r="D43" s="4" t="n">
        <v>30</v>
      </c>
      <c r="E43" s="5" t="n"/>
      <c r="F43" s="5" t="n"/>
    </row>
    <row r="44">
      <c r="A44" s="5" t="n"/>
      <c r="B44" s="5" t="n"/>
      <c r="C44" s="6" t="inlineStr">
        <is>
          <t>基本療養費確認</t>
        </is>
      </c>
      <c r="D44" s="4" t="n">
        <v>30</v>
      </c>
      <c r="E44" s="5" t="n"/>
      <c r="F44" s="5" t="n"/>
    </row>
    <row r="45">
      <c r="A45" s="5" t="inlineStr">
        <is>
          <t>9/29</t>
        </is>
      </c>
      <c r="B45" s="5" t="inlineStr">
        <is>
          <t>火</t>
        </is>
      </c>
      <c r="C45" s="6" t="inlineStr">
        <is>
          <t>実績報告</t>
        </is>
      </c>
      <c r="D45" s="4" t="n">
        <v>15</v>
      </c>
      <c r="E45" s="5">
        <f>SUM(D45:D46)</f>
        <v/>
      </c>
      <c r="F45" s="5">
        <f>ROUND(E45/60,1)</f>
        <v/>
      </c>
    </row>
    <row r="46">
      <c r="A46" s="5" t="n"/>
      <c r="B46" s="5" t="n"/>
      <c r="C46" s="6" t="inlineStr">
        <is>
          <t>保険・公費確認</t>
        </is>
      </c>
      <c r="D46" s="4" t="n">
        <v>30</v>
      </c>
      <c r="E46" s="5" t="n"/>
      <c r="F46" s="5" t="n"/>
    </row>
    <row r="47">
      <c r="A47" s="5" t="inlineStr">
        <is>
          <t>9/30</t>
        </is>
      </c>
      <c r="B47" s="5" t="inlineStr">
        <is>
          <t>水</t>
        </is>
      </c>
      <c r="C47" s="6" t="inlineStr">
        <is>
          <t>実績報告</t>
        </is>
      </c>
      <c r="D47" s="4" t="n">
        <v>15</v>
      </c>
      <c r="E47" s="5">
        <f>SUM(D47:D50)</f>
        <v/>
      </c>
      <c r="F47" s="5">
        <f>ROUND(E47/60,1)</f>
        <v/>
      </c>
    </row>
    <row r="48">
      <c r="A48" s="5" t="n"/>
      <c r="B48" s="5" t="n"/>
      <c r="C48" s="6" t="inlineStr">
        <is>
          <t>ミーティング</t>
        </is>
      </c>
      <c r="D48" s="4" t="n">
        <v>30</v>
      </c>
      <c r="E48" s="5" t="n"/>
      <c r="F48" s="5" t="n"/>
    </row>
    <row r="49">
      <c r="A49" s="5" t="n"/>
      <c r="B49" s="5" t="n"/>
      <c r="C49" s="6" t="inlineStr">
        <is>
          <t>上限金額確認</t>
        </is>
      </c>
      <c r="D49" s="4" t="n">
        <v>30</v>
      </c>
      <c r="E49" s="5" t="n"/>
      <c r="F49" s="5" t="n"/>
    </row>
    <row r="50">
      <c r="A50" s="5" t="n"/>
      <c r="B50" s="5" t="n"/>
      <c r="C50" s="6" t="inlineStr">
        <is>
          <t>保険・公費確認</t>
        </is>
      </c>
      <c r="D50" s="4" t="n">
        <v>30</v>
      </c>
      <c r="E50" s="5" t="n"/>
      <c r="F50" s="5" t="n"/>
    </row>
    <row r="51">
      <c r="D51" s="2" t="inlineStr">
        <is>
          <t>月合計</t>
        </is>
      </c>
      <c r="E51" s="2">
        <f>E2+E7+E12+E18+E20+E25+E30+E33+E34+E38+E41+E45+E47</f>
        <v/>
      </c>
      <c r="F51" s="2">
        <f>ROUND(E51/60,1)</f>
        <v/>
      </c>
    </row>
    <row r="53">
      <c r="A53" t="inlineStr">
        <is>
          <t>※ 府中店（約40名）規模と仮定。『ミーティング』は30分枠で仮置き。休みの日は記載なし。</t>
        </is>
      </c>
    </row>
  </sheetData>
  <mergeCells count="48">
    <mergeCell ref="E2:E6"/>
    <mergeCell ref="E30:E32"/>
    <mergeCell ref="F2:F6"/>
    <mergeCell ref="E12:E17"/>
    <mergeCell ref="B18:B19"/>
    <mergeCell ref="B47:B50"/>
    <mergeCell ref="F38:F40"/>
    <mergeCell ref="A2:A6"/>
    <mergeCell ref="B30:B32"/>
    <mergeCell ref="F34:F37"/>
    <mergeCell ref="A45:A46"/>
    <mergeCell ref="A20:A24"/>
    <mergeCell ref="A38:A40"/>
    <mergeCell ref="E7:E11"/>
    <mergeCell ref="F18:F19"/>
    <mergeCell ref="F45:F46"/>
    <mergeCell ref="B12:B17"/>
    <mergeCell ref="F12:F17"/>
    <mergeCell ref="E25:E29"/>
    <mergeCell ref="B20:B24"/>
    <mergeCell ref="E34:E37"/>
    <mergeCell ref="A41:A44"/>
    <mergeCell ref="B7:B11"/>
    <mergeCell ref="A18:A19"/>
    <mergeCell ref="F41:F44"/>
    <mergeCell ref="A30:A32"/>
    <mergeCell ref="A12:A17"/>
    <mergeCell ref="B25:B29"/>
    <mergeCell ref="F47:F50"/>
    <mergeCell ref="B34:B37"/>
    <mergeCell ref="F7:F11"/>
    <mergeCell ref="F25:F29"/>
    <mergeCell ref="F30:F32"/>
    <mergeCell ref="E38:E40"/>
    <mergeCell ref="E45:E46"/>
    <mergeCell ref="E20:E24"/>
    <mergeCell ref="A7:A11"/>
    <mergeCell ref="B2:B6"/>
    <mergeCell ref="B45:B46"/>
    <mergeCell ref="F20:F24"/>
    <mergeCell ref="A47:A50"/>
    <mergeCell ref="E18:E19"/>
    <mergeCell ref="A25:A29"/>
    <mergeCell ref="A34:A37"/>
    <mergeCell ref="E47:E50"/>
    <mergeCell ref="E41:E44"/>
    <mergeCell ref="B38:B40"/>
    <mergeCell ref="B41:B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</cols>
  <sheetData>
    <row r="1">
      <c r="A1" s="7" t="inlineStr">
        <is>
          <t>区分</t>
        </is>
      </c>
      <c r="B1" s="7" t="inlineStr">
        <is>
          <t>月間合計（分）</t>
        </is>
      </c>
      <c r="C1" s="7" t="inlineStr">
        <is>
          <t>時間/月</t>
        </is>
      </c>
    </row>
    <row r="2">
      <c r="A2" t="inlineStr">
        <is>
          <t>A_日常業務</t>
        </is>
      </c>
      <c r="B2">
        <f>'A_日常業務'!C22</f>
        <v/>
      </c>
      <c r="C2">
        <f>ROUND(B2/60,1)</f>
        <v/>
      </c>
    </row>
    <row r="3">
      <c r="A3" t="inlineStr">
        <is>
          <t>B_経験業務</t>
        </is>
      </c>
      <c r="B3">
        <f>'B_経験業務'!C23</f>
        <v/>
      </c>
      <c r="C3">
        <f>ROUND(B3/60,1)</f>
        <v/>
      </c>
    </row>
    <row r="4">
      <c r="A4" t="inlineStr">
        <is>
          <t>C_権限業務</t>
        </is>
      </c>
      <c r="B4">
        <f>'C_権限業務'!C23</f>
        <v/>
      </c>
      <c r="C4">
        <f>ROUND(B4/60,1)</f>
        <v/>
      </c>
    </row>
    <row r="5">
      <c r="A5" s="2" t="inlineStr">
        <is>
          <t>合計（日野店想定）</t>
        </is>
      </c>
      <c r="B5" s="2">
        <f>SUM(B2:B4)</f>
        <v/>
      </c>
      <c r="C5" s="2">
        <f>ROUND(B5/60,1)</f>
        <v/>
      </c>
    </row>
    <row r="7">
      <c r="A7" t="inlineStr">
        <is>
          <t>参考：日野店の事務キャパシティ</t>
        </is>
      </c>
    </row>
    <row r="8">
      <c r="A8" t="inlineStr">
        <is>
          <t>千田さん（正社員 8h×20日）</t>
        </is>
      </c>
      <c r="C8" t="n">
        <v>160</v>
      </c>
    </row>
    <row r="9">
      <c r="A9" t="inlineStr">
        <is>
          <t>林さん（週3日×6h想定）</t>
        </is>
      </c>
      <c r="C9" t="n">
        <v>78</v>
      </c>
    </row>
    <row r="10">
      <c r="A10" t="inlineStr">
        <is>
          <t>キャパ合計</t>
        </is>
      </c>
      <c r="C10">
        <f>C8+C9</f>
        <v/>
      </c>
    </row>
    <row r="11">
      <c r="A11" t="inlineStr">
        <is>
          <t>標準時間合計 ÷ キャパ</t>
        </is>
      </c>
      <c r="C11" s="8">
        <f>C5/C10</f>
        <v/>
      </c>
    </row>
    <row r="12">
      <c r="A12" t="inlineStr">
        <is>
          <t>※ 林さんの勤務時間は仮置き。実際の契約時間に置き換えてください。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2026-10-05T09:59:44Z</dcterms:created>
  <dcterms:modified xsi:type="dcterms:W3CDTF">2026-10-05T09:59:44Z</dcterms:modified>
</cp:coreProperties>
</file>